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 de Assistente de TI - Senac\Aluno\Mikael\Assistente de informática\Pacote Office\Microsoft Excel\"/>
    </mc:Choice>
  </mc:AlternateContent>
  <xr:revisionPtr revIDLastSave="0" documentId="13_ncr:1_{05AA484B-F83E-4121-B2EF-CE6B3CC722EB}" xr6:coauthVersionLast="47" xr6:coauthVersionMax="47" xr10:uidLastSave="{00000000-0000-0000-0000-000000000000}"/>
  <bookViews>
    <workbookView xWindow="-120" yWindow="-120" windowWidth="24240" windowHeight="13020" xr2:uid="{AA2B6787-ADBC-4A94-A253-4EF96EB91AE9}"/>
  </bookViews>
  <sheets>
    <sheet name="Planilha1" sheetId="1" r:id="rId1"/>
  </sheets>
  <definedNames>
    <definedName name="ENTRADA">Planilha1!$D$4:$D$12</definedName>
    <definedName name="SAÍDA">Planilha1!$E$4:$E$12</definedName>
    <definedName name="TIPO">Planilha1!$B$4:$B$12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D18" i="1"/>
  <c r="E15" i="1"/>
  <c r="E18" i="1" s="1"/>
  <c r="E13" i="1"/>
  <c r="D13" i="1"/>
  <c r="B17" i="1"/>
  <c r="B16" i="1"/>
  <c r="B15" i="1"/>
  <c r="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LABORATÓRIO</author>
  </authors>
  <commentList>
    <comment ref="B3" authorId="0" shapeId="0" xr:uid="{AD2AF419-AF23-4502-8893-E404248BB1D1}">
      <text>
        <r>
          <rPr>
            <b/>
            <sz val="9"/>
            <color indexed="81"/>
            <rFont val="Segoe UI"/>
            <family val="2"/>
          </rPr>
          <t>VALIDAÇÃO DE DADOS</t>
        </r>
        <r>
          <rPr>
            <sz val="9"/>
            <color indexed="81"/>
            <rFont val="Segoe UI"/>
            <family val="2"/>
          </rPr>
          <t xml:space="preserve">
1. SELECIONE O INTERVALO B3:B12
2. CLIQUE EM DADOS / VALIDAÇÃO DE DADOS
3. CLIQUE NA GUIA CONFIGURAÇÕES
4. PERMITIR: LISTA
5. NO RETÂNGULO FONTE DIGITE: </t>
        </r>
        <r>
          <rPr>
            <b/>
            <sz val="9"/>
            <color indexed="81"/>
            <rFont val="Segoe UI"/>
            <family val="2"/>
          </rPr>
          <t>DINHEIRO; CARTÃO; PIX; VALE</t>
        </r>
        <r>
          <rPr>
            <sz val="9"/>
            <color indexed="81"/>
            <rFont val="Segoe UI"/>
            <family val="2"/>
          </rPr>
          <t xml:space="preserve">
6. OK
</t>
        </r>
        <r>
          <rPr>
            <b/>
            <sz val="9"/>
            <color indexed="81"/>
            <rFont val="Segoe UI"/>
            <family val="2"/>
          </rPr>
          <t>RENOMEAR OS INTERVALOS</t>
        </r>
        <r>
          <rPr>
            <sz val="9"/>
            <color indexed="81"/>
            <rFont val="Segoe UI"/>
            <family val="2"/>
          </rPr>
          <t xml:space="preserve">
1. SELECIONE O INTERVALO</t>
        </r>
        <r>
          <rPr>
            <b/>
            <sz val="9"/>
            <color indexed="81"/>
            <rFont val="Segoe UI"/>
            <family val="2"/>
          </rPr>
          <t xml:space="preserve"> B3:B12</t>
        </r>
        <r>
          <rPr>
            <sz val="9"/>
            <color indexed="81"/>
            <rFont val="Segoe UI"/>
            <family val="2"/>
          </rPr>
          <t xml:space="preserve">, NA CAIXA DE NOME DIGITE: </t>
        </r>
        <r>
          <rPr>
            <b/>
            <sz val="9"/>
            <color indexed="81"/>
            <rFont val="Segoe UI"/>
            <family val="2"/>
          </rPr>
          <t>TIPO</t>
        </r>
        <r>
          <rPr>
            <sz val="9"/>
            <color indexed="81"/>
            <rFont val="Segoe UI"/>
            <family val="2"/>
          </rPr>
          <t xml:space="preserve"> E TECLE ENTER
2. SELECIONE O INERVALO D3:D12, NA CAIXA DE NOME DIGITE: </t>
        </r>
        <r>
          <rPr>
            <b/>
            <sz val="9"/>
            <color indexed="81"/>
            <rFont val="Segoe UI"/>
            <family val="2"/>
          </rPr>
          <t>ENTRADA</t>
        </r>
        <r>
          <rPr>
            <sz val="9"/>
            <color indexed="81"/>
            <rFont val="Segoe UI"/>
            <family val="2"/>
          </rPr>
          <t xml:space="preserve"> E TECLE ENTER
3. SELECIONE O INERVALO E3:E12, NA CAIXA DE NOME DIGITE: </t>
        </r>
        <r>
          <rPr>
            <b/>
            <sz val="9"/>
            <color indexed="81"/>
            <rFont val="Segoe UI"/>
            <family val="2"/>
          </rPr>
          <t>SAÍDA</t>
        </r>
        <r>
          <rPr>
            <sz val="9"/>
            <color indexed="81"/>
            <rFont val="Segoe UI"/>
            <family val="2"/>
          </rPr>
          <t xml:space="preserve"> E TECLE E ENTER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<sst xmlns="http://schemas.openxmlformats.org/spreadsheetml/2006/main" count="28" uniqueCount="17">
  <si>
    <t>Fluxo de Caixa</t>
  </si>
  <si>
    <t>Nº ORDEM</t>
  </si>
  <si>
    <t>TIPO</t>
  </si>
  <si>
    <t>ENTRADA</t>
  </si>
  <si>
    <t>SAÍDA</t>
  </si>
  <si>
    <t>DINHEIRO</t>
  </si>
  <si>
    <t>CARTÃO</t>
  </si>
  <si>
    <t>VALE</t>
  </si>
  <si>
    <t>REC REF VENDAS DE MERCADORIAS</t>
  </si>
  <si>
    <t>PG REF COMPRA DE QUENTINHA</t>
  </si>
  <si>
    <t>DETALHES DO SALDO</t>
  </si>
  <si>
    <t>HISTÓRICO</t>
  </si>
  <si>
    <t>PIX</t>
  </si>
  <si>
    <t>TOTAL ENTRADA / SAIDA</t>
  </si>
  <si>
    <t>FECHAMENTO</t>
  </si>
  <si>
    <t>SALDO ANTERIOR</t>
  </si>
  <si>
    <t>SALDO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</si>
</sst>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9005-1E23-4FA0-B4C0-B267A60E6831}">
  <dimension ref="A2:F19"/>
  <sheetViews>
    <sheetView tabSelected="1" workbookViewId="0">
      <selection activeCell="G9" sqref="G9"/>
    </sheetView>
  </sheetViews>
  <sheetFormatPr defaultRowHeight="15" x14ac:dyDescent="0.25"/>
  <cols>
    <col min="1" max="1" width="20.5703125" bestFit="1" customWidth="1"/>
    <col min="2" max="2" width="10.5703125" bestFit="1" customWidth="1"/>
    <col min="3" max="3" width="31.7109375" bestFit="1" customWidth="1"/>
    <col min="4" max="4" width="14.140625" bestFit="1" customWidth="1"/>
    <col min="5" max="5" width="13.28515625" customWidth="1"/>
  </cols>
  <sheetData>
    <row r="2" spans="1:6" x14ac:dyDescent="0.25">
      <c r="A2" s="4" t="s">
        <v>0</v>
      </c>
      <c r="B2" s="4"/>
      <c r="C2" s="4"/>
      <c r="D2" s="4"/>
      <c r="E2" s="4"/>
      <c r="F2" s="2"/>
    </row>
    <row r="3" spans="1:6" x14ac:dyDescent="0.25">
      <c r="A3" s="3" t="s">
        <v>1</v>
      </c>
      <c r="B3" s="3" t="s">
        <v>2</v>
      </c>
      <c r="C3" s="3" t="s">
        <v>11</v>
      </c>
      <c r="D3" s="3" t="s">
        <v>3</v>
      </c>
      <c r="E3" s="3" t="s">
        <v>4</v>
      </c>
      <c r="F3" s="2"/>
    </row>
    <row r="4" spans="1:6" x14ac:dyDescent="0.25">
      <c r="A4" s="2">
        <v>1</v>
      </c>
      <c r="B4" s="2" t="s">
        <v>5</v>
      </c>
      <c r="C4" s="2" t="s">
        <v>8</v>
      </c>
      <c r="D4" s="5">
        <v>352.25</v>
      </c>
      <c r="E4" s="5"/>
      <c r="F4" s="2"/>
    </row>
    <row r="5" spans="1:6" x14ac:dyDescent="0.25">
      <c r="A5" s="2">
        <v>2</v>
      </c>
      <c r="B5" s="2" t="s">
        <v>6</v>
      </c>
      <c r="C5" s="2" t="s">
        <v>8</v>
      </c>
      <c r="D5" s="5">
        <v>254.28</v>
      </c>
      <c r="E5" s="5"/>
      <c r="F5" s="2"/>
    </row>
    <row r="6" spans="1:6" x14ac:dyDescent="0.25">
      <c r="A6" s="2">
        <v>3</v>
      </c>
      <c r="B6" s="2" t="s">
        <v>7</v>
      </c>
      <c r="C6" s="2" t="s">
        <v>9</v>
      </c>
      <c r="D6" s="5"/>
      <c r="E6" s="5">
        <v>25</v>
      </c>
      <c r="F6" s="2"/>
    </row>
    <row r="7" spans="1:6" x14ac:dyDescent="0.25">
      <c r="A7" s="2">
        <v>4</v>
      </c>
      <c r="B7" s="2" t="s">
        <v>5</v>
      </c>
      <c r="C7" s="2" t="s">
        <v>8</v>
      </c>
      <c r="D7" s="5">
        <v>150</v>
      </c>
      <c r="E7" s="5"/>
      <c r="F7" s="2"/>
    </row>
    <row r="8" spans="1:6" x14ac:dyDescent="0.25">
      <c r="A8" s="2">
        <v>5</v>
      </c>
      <c r="B8" s="2" t="s">
        <v>12</v>
      </c>
      <c r="C8" s="2" t="s">
        <v>8</v>
      </c>
      <c r="D8" s="5">
        <v>142.84</v>
      </c>
      <c r="E8" s="5"/>
      <c r="F8" s="2"/>
    </row>
    <row r="9" spans="1:6" x14ac:dyDescent="0.25">
      <c r="A9" s="2">
        <v>6</v>
      </c>
      <c r="B9" s="2" t="s">
        <v>7</v>
      </c>
      <c r="C9" s="2" t="s">
        <v>9</v>
      </c>
      <c r="D9" s="5"/>
      <c r="E9" s="5">
        <v>24</v>
      </c>
      <c r="F9" s="2"/>
    </row>
    <row r="10" spans="1:6" x14ac:dyDescent="0.25">
      <c r="A10" s="2">
        <v>7</v>
      </c>
      <c r="B10" s="2"/>
      <c r="C10" s="2"/>
      <c r="D10" s="5"/>
      <c r="E10" s="5"/>
      <c r="F10" s="2"/>
    </row>
    <row r="11" spans="1:6" x14ac:dyDescent="0.25">
      <c r="A11" s="2">
        <v>8</v>
      </c>
      <c r="B11" s="2"/>
      <c r="C11" s="2"/>
      <c r="D11" s="5"/>
      <c r="E11" s="5"/>
      <c r="F11" s="2"/>
    </row>
    <row r="12" spans="1:6" x14ac:dyDescent="0.25">
      <c r="A12" s="2">
        <v>9</v>
      </c>
      <c r="B12" s="2"/>
      <c r="C12" s="2"/>
      <c r="D12" s="5"/>
      <c r="E12" s="5"/>
      <c r="F12" s="2"/>
    </row>
    <row r="13" spans="1:6" x14ac:dyDescent="0.25">
      <c r="A13" s="3" t="s">
        <v>10</v>
      </c>
      <c r="B13" s="2"/>
      <c r="C13" s="3" t="s">
        <v>13</v>
      </c>
      <c r="D13" s="5">
        <f>SUM(ENTRADA)</f>
        <v>899.37</v>
      </c>
      <c r="E13" s="5">
        <f>SUM(SAÍDA)</f>
        <v>49</v>
      </c>
      <c r="F13" s="2"/>
    </row>
    <row r="14" spans="1:6" x14ac:dyDescent="0.25">
      <c r="A14" s="2" t="s">
        <v>5</v>
      </c>
      <c r="B14" s="5">
        <f>SUMIF(TIPO,A14,ENTRADA)</f>
        <v>502.25</v>
      </c>
      <c r="C14" s="3" t="s">
        <v>15</v>
      </c>
      <c r="D14" s="5">
        <v>250</v>
      </c>
      <c r="E14" s="5"/>
      <c r="F14" s="2"/>
    </row>
    <row r="15" spans="1:6" x14ac:dyDescent="0.25">
      <c r="A15" s="2" t="s">
        <v>6</v>
      </c>
      <c r="B15" s="5">
        <f>SUMIF(TIPO,A15,ENTRADA)</f>
        <v>254.28</v>
      </c>
      <c r="C15" s="3" t="s">
        <v>16</v>
      </c>
      <c r="D15" s="5"/>
      <c r="E15" s="5">
        <f>D13-E13+D14</f>
        <v>1100.3699999999999</v>
      </c>
      <c r="F15" s="2"/>
    </row>
    <row r="16" spans="1:6" x14ac:dyDescent="0.25">
      <c r="A16" s="2" t="s">
        <v>12</v>
      </c>
      <c r="B16" s="5">
        <f>SUMIF(TIPO,A16,ENTRADA)</f>
        <v>142.84</v>
      </c>
      <c r="C16" s="1"/>
      <c r="D16" s="5"/>
      <c r="E16" s="5"/>
      <c r="F16" s="2"/>
    </row>
    <row r="17" spans="1:6" x14ac:dyDescent="0.25">
      <c r="A17" s="2" t="s">
        <v>7</v>
      </c>
      <c r="B17" s="5">
        <f>SUMIF(TIPO,A17,SAÍDA)</f>
        <v>49</v>
      </c>
      <c r="C17" s="3"/>
      <c r="D17" s="5"/>
      <c r="E17" s="5"/>
      <c r="F17" s="2"/>
    </row>
    <row r="18" spans="1:6" x14ac:dyDescent="0.25">
      <c r="A18" s="2" t="s">
        <v>14</v>
      </c>
      <c r="B18" s="5">
        <f>B14+B15+B16-B17</f>
        <v>850.37</v>
      </c>
      <c r="C18" s="3" t="s">
        <v>14</v>
      </c>
      <c r="D18" s="5">
        <f>D13+D14</f>
        <v>1149.3699999999999</v>
      </c>
      <c r="E18" s="5">
        <f>E13+E15</f>
        <v>1149.3699999999999</v>
      </c>
      <c r="F18" s="2"/>
    </row>
    <row r="19" spans="1:6" x14ac:dyDescent="0.25">
      <c r="A19" s="2"/>
      <c r="B19" s="2"/>
      <c r="C19" s="2"/>
      <c r="D19" s="2"/>
      <c r="E19" s="2"/>
      <c r="F19" s="2"/>
    </row>
  </sheetData>
  <mergeCells count="1">
    <mergeCell ref="A2:E2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Planilha1</vt:lpstr>
      <vt:lpstr>ENTRADA</vt:lpstr>
      <vt:lpstr>SAÍDA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2026-10-14T16:55:32Z</dcterms:created>
  <dcterms:modified xsi:type="dcterms:W3CDTF">2026-10-14T18:06:41Z</dcterms:modified>
</cp:coreProperties>
</file>